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<sst xmlns="http://schemas.openxmlformats.org/spreadsheetml/2006/main" count="387" uniqueCount="204">
  <si>
    <t/>
  </si>
  <si>
    <t xml:space="preserve">Bill of Materials </t>
  </si>
  <si>
    <t>BOM_0-20mA电流输出板_2026-06-12</t>
  </si>
  <si>
    <t>Project Title：</t>
  </si>
  <si>
    <t>青米-5168820A-0-20mA电流输出板</t>
  </si>
  <si>
    <t>Variant:</t>
  </si>
  <si>
    <t xml:space="preserve"> </t>
  </si>
  <si>
    <t>Report Time：</t>
  </si>
  <si>
    <t>2026年6月12日 17:35:29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</si>
  <si>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</si>
  <si>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</si>
  <si>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</si>
  <si>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</si>
  <si>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</si>
  <si>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</si>
  <si>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</si>
  <si>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</si>
  <si>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</si>
  <si>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</si>
  <si>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</si>
  <si>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</si>
  <si>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22uF</t>
  </si>
  <si>
    <t>C1, C3</t>
  </si>
  <si>
    <t>C0805</t>
  </si>
  <si>
    <t>CL21A226MAQNNNE</t>
  </si>
  <si>
    <t>SAMSUNG(三星)</t>
  </si>
  <si>
    <t>C45783</t>
  </si>
  <si>
    <t>LCSC</t>
  </si>
  <si>
    <t>100nF</t>
  </si>
  <si>
    <t>C2, C4, C6, C8, C9, C10, C13, C14, C15, C17, C23, C24, C25, C26, C27</t>
  </si>
  <si>
    <t>C0603</t>
  </si>
  <si>
    <t>CL10B104KB8NNNC</t>
  </si>
  <si>
    <t>C1591</t>
  </si>
  <si>
    <t>1uF</t>
  </si>
  <si>
    <t>C5, C7, C16, C21, C22</t>
  </si>
  <si>
    <t>CL10A105KB8NNNC</t>
  </si>
  <si>
    <t>C15849</t>
  </si>
  <si>
    <t>22nF</t>
  </si>
  <si>
    <t>C11, C12, C20</t>
  </si>
  <si>
    <t>CL10B223KB8NNNC</t>
  </si>
  <si>
    <t>C21122</t>
  </si>
  <si>
    <t>33pF</t>
  </si>
  <si>
    <t>C18, C19</t>
  </si>
  <si>
    <t>CL10C330JB8NNNC</t>
  </si>
  <si>
    <t>C1663</t>
  </si>
  <si>
    <t>XY118-5.0-2P</t>
  </si>
  <si>
    <t>CN1, CN2, CN3</t>
  </si>
  <si>
    <t>CONN-TH_XY118-5.0-2P</t>
  </si>
  <si>
    <t>XINLAIYA(新莱亚)</t>
  </si>
  <si>
    <t>C784922</t>
  </si>
  <si>
    <t>SS34</t>
  </si>
  <si>
    <t>D1</t>
  </si>
  <si>
    <t>SMA_L4.3-W2.6-LS5.2-RD</t>
  </si>
  <si>
    <t>MDD(辰达半导体)</t>
  </si>
  <si>
    <t>C8678</t>
  </si>
  <si>
    <t>SMF24A</t>
  </si>
  <si>
    <t>D2</t>
  </si>
  <si>
    <t>SOD-123FL_L2.7-W1.8-LS3.8-RD</t>
  </si>
  <si>
    <t>R+O(宏嘉诚)</t>
  </si>
  <si>
    <t>C19077514</t>
  </si>
  <si>
    <t>B5817W</t>
  </si>
  <si>
    <t>D3, D4</t>
  </si>
  <si>
    <t>SOD-123_L2.7-W1.6-LS3.7-FD</t>
  </si>
  <si>
    <t>C7420328</t>
  </si>
  <si>
    <t>2.54-1*4P母</t>
  </si>
  <si>
    <t>H1</t>
  </si>
  <si>
    <t>HDR-TH_4P-P2.54-V-F</t>
  </si>
  <si>
    <t>BOOMELE(博穆精密)</t>
  </si>
  <si>
    <t>C2718488</t>
  </si>
  <si>
    <t>PZ254V-11-04P</t>
  </si>
  <si>
    <t>H2</t>
  </si>
  <si>
    <t>HDR-TH_4P-P2.54-V-M</t>
  </si>
  <si>
    <t>XFCN(兴飞)</t>
  </si>
  <si>
    <t>C2691448</t>
  </si>
  <si>
    <t>22uH</t>
  </si>
  <si>
    <t>L1</t>
  </si>
  <si>
    <t>IND-SMD_L7.1-W6.6</t>
  </si>
  <si>
    <t>YSPI0630A-220M</t>
  </si>
  <si>
    <t>YJYCOIN(益嘉源)</t>
  </si>
  <si>
    <t>C497873</t>
  </si>
  <si>
    <t>2SD882</t>
  </si>
  <si>
    <t>Q1, Q2</t>
  </si>
  <si>
    <t>SOT-89-3_L4.5-W2.5-P1.50-LS4.1-BR</t>
  </si>
  <si>
    <t>FUXINSEMI(富芯森美)</t>
  </si>
  <si>
    <t>C842818</t>
  </si>
  <si>
    <t>5.1kΩ</t>
  </si>
  <si>
    <t>R1, R2</t>
  </si>
  <si>
    <t>R0603</t>
  </si>
  <si>
    <t>0603WAF5101T5E</t>
  </si>
  <si>
    <t>UNI-ROYAL(厚声)</t>
  </si>
  <si>
    <t>C23186</t>
  </si>
  <si>
    <t>51kΩ</t>
  </si>
  <si>
    <t>R3</t>
  </si>
  <si>
    <t>0603WAF5102T5E</t>
  </si>
  <si>
    <t>C23196</t>
  </si>
  <si>
    <t>2.7kΩ</t>
  </si>
  <si>
    <t>R4</t>
  </si>
  <si>
    <t>0603WAF2701T5E</t>
  </si>
  <si>
    <t>C13167</t>
  </si>
  <si>
    <t>10kΩ</t>
  </si>
  <si>
    <t>R5, R6, R7, R11, R12, R13</t>
  </si>
  <si>
    <t>0603WAF1002T5E</t>
  </si>
  <si>
    <t>C25804</t>
  </si>
  <si>
    <t>20kΩ</t>
  </si>
  <si>
    <t>R8</t>
  </si>
  <si>
    <t>0603WAF2002T5E</t>
  </si>
  <si>
    <t>C4184</t>
  </si>
  <si>
    <t>100Ω</t>
  </si>
  <si>
    <t>R9, R15</t>
  </si>
  <si>
    <t>R0805</t>
  </si>
  <si>
    <t>RT0805BRD07100RL</t>
  </si>
  <si>
    <t>YAGEO(国巨)</t>
  </si>
  <si>
    <t>C110773</t>
  </si>
  <si>
    <t>2Ω</t>
  </si>
  <si>
    <t>R10</t>
  </si>
  <si>
    <t>ARG05BTC0020</t>
  </si>
  <si>
    <t>Viking(光颉)</t>
  </si>
  <si>
    <t>C2681633</t>
  </si>
  <si>
    <t>100kΩ</t>
  </si>
  <si>
    <t>R14, R17, R18, R19, R20</t>
  </si>
  <si>
    <t>0603WAF1003T5E</t>
  </si>
  <si>
    <t>C25803</t>
  </si>
  <si>
    <t>15Ω</t>
  </si>
  <si>
    <t>R16</t>
  </si>
  <si>
    <t>R1206</t>
  </si>
  <si>
    <t>ARG06BTC0150</t>
  </si>
  <si>
    <t>C3294596</t>
  </si>
  <si>
    <t>150Ω</t>
  </si>
  <si>
    <t>R21</t>
  </si>
  <si>
    <t>0603WAF1500T5E</t>
  </si>
  <si>
    <t>C22808</t>
  </si>
  <si>
    <t>M3螺丝</t>
  </si>
  <si>
    <t>SCREW1, SCREW2, SCREW3, SCREW4</t>
  </si>
  <si>
    <t>KH-6X6X5H-STM</t>
  </si>
  <si>
    <t>SW1, SW2, SW3, SW4</t>
  </si>
  <si>
    <t>SW-SMD_4P-L6.0-W6.0-P4.50-LS9.0_H5.0</t>
  </si>
  <si>
    <t>kinghelm(金航标)</t>
  </si>
  <si>
    <t>C2837531</t>
  </si>
  <si>
    <t>MT3608B</t>
  </si>
  <si>
    <t>U1</t>
  </si>
  <si>
    <t>SOT-23-6_L2.9-W1.6-P0.95-LS2.8-BR</t>
  </si>
  <si>
    <t>西安航天民芯</t>
  </si>
  <si>
    <t>C19189893</t>
  </si>
  <si>
    <t>TLV75733PDBVR</t>
  </si>
  <si>
    <t>U2</t>
  </si>
  <si>
    <t>SOT-23-5_L2.9-W1.6-P0.95-LS2.8-BL</t>
  </si>
  <si>
    <t>TI(德州仪器)</t>
  </si>
  <si>
    <t>C485517</t>
  </si>
  <si>
    <t>CH340N</t>
  </si>
  <si>
    <t>U3</t>
  </si>
  <si>
    <t>SOP-8_L4.9-W3.9-P1.27-LS6.0-BL</t>
  </si>
  <si>
    <t>WCH(南京沁恒)</t>
  </si>
  <si>
    <t>C2977777</t>
  </si>
  <si>
    <t>LM324PWRG</t>
  </si>
  <si>
    <t>U4</t>
  </si>
  <si>
    <t>TSSOP-14_L5.0-W4.4-P0.65-LS6.4-BL</t>
  </si>
  <si>
    <t>HGC(深圳汉芯)</t>
  </si>
  <si>
    <t>C19723737</t>
  </si>
  <si>
    <t>INA199A1DCKR</t>
  </si>
  <si>
    <t>U5</t>
  </si>
  <si>
    <t>SC-70-6_L2.2-W1.3-P0.65-LS2.1-BR</t>
  </si>
  <si>
    <t>C59135</t>
  </si>
  <si>
    <t>STM32G071C8T6</t>
  </si>
  <si>
    <t>U6</t>
  </si>
  <si>
    <t>LQFP-48_L7.0-W7.0-P0.50-LS9.0-BL</t>
  </si>
  <si>
    <t>ST(意法半导体)</t>
  </si>
  <si>
    <t>C529341</t>
  </si>
  <si>
    <t>GP8212S-TC50-EW</t>
  </si>
  <si>
    <t>U7</t>
  </si>
  <si>
    <t>ESOP-8_L4.9-W3.9-P1.27-LS6.0-BL-EP</t>
  </si>
  <si>
    <t>Guestgood(客益)</t>
  </si>
  <si>
    <t>C3152009</t>
  </si>
  <si>
    <t>LMV321IDBVR</t>
  </si>
  <si>
    <t>U8</t>
  </si>
  <si>
    <t>SOT-23-5_L3.0-W1.7-P0.95-LS2.8-BR</t>
  </si>
  <si>
    <t>C7972</t>
  </si>
  <si>
    <t>TYPE-C 16PIN 2MD(073)</t>
  </si>
  <si>
    <t>USB1</t>
  </si>
  <si>
    <t>USB-C-SMD_TYPE-C-16PIN-2MD-073</t>
  </si>
  <si>
    <t>SHOU HAN(首韩)</t>
  </si>
  <si>
    <t>C2765186</t>
  </si>
  <si>
    <t>8MHz</t>
  </si>
  <si>
    <t>X1</t>
  </si>
  <si>
    <t>CRYSTAL-SMD_4P-L3.2-W2.5-BL</t>
  </si>
  <si>
    <t>X32258MSB4SI</t>
  </si>
  <si>
    <t>YXC(扬兴晶振)</t>
  </si>
  <si>
    <t>C2682774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</si>
  <si>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</si>
  <si>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</si>
  <si>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</si>
  <si>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</si>
  <si>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</si>
  <si>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</si>
  <si>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</si>
  <si>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</si>
  <si>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</si>
  <si>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</si>
  <si>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17:35:29</t>
  </si>
  <si>
    <t>Report Date</t>
  </si>
  <si>
    <t>2026年6月12日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</si>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</sst>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</row>
    <row r="8" spans="1:11" x14ac:dyDescent="0.25">
      <c r="A8" s="8">
        <f>ROW()-6</f>
      </c>
      <c r="B8" s="9">
        <v>15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25</v>
      </c>
      <c r="I8" s="9" t="s">
        <v>32</v>
      </c>
      <c r="J8" s="9" t="s">
        <v>27</v>
      </c>
      <c r="K8" s="9" t="s">
        <v>0</v>
      </c>
    </row>
    <row r="9" spans="1:11" x14ac:dyDescent="0.25">
      <c r="A9" s="8">
        <f>ROW()-6</f>
      </c>
      <c r="B9" s="9">
        <v>5</v>
      </c>
      <c r="C9" s="9" t="s">
        <v>33</v>
      </c>
      <c r="D9" s="9" t="s">
        <v>34</v>
      </c>
      <c r="E9" s="9" t="s">
        <v>30</v>
      </c>
      <c r="F9" s="9" t="s">
        <v>33</v>
      </c>
      <c r="G9" s="9" t="s">
        <v>35</v>
      </c>
      <c r="H9" s="9" t="s">
        <v>25</v>
      </c>
      <c r="I9" s="9" t="s">
        <v>36</v>
      </c>
      <c r="J9" s="9" t="s">
        <v>27</v>
      </c>
      <c r="K9" s="9" t="s">
        <v>0</v>
      </c>
    </row>
    <row r="10" spans="1:11" x14ac:dyDescent="0.25">
      <c r="A10" s="8">
        <f>ROW()-6</f>
      </c>
      <c r="B10" s="9">
        <v>3</v>
      </c>
      <c r="C10" s="9" t="s">
        <v>37</v>
      </c>
      <c r="D10" s="9" t="s">
        <v>38</v>
      </c>
      <c r="E10" s="9" t="s">
        <v>30</v>
      </c>
      <c r="F10" s="9" t="s">
        <v>37</v>
      </c>
      <c r="G10" s="9" t="s">
        <v>39</v>
      </c>
      <c r="H10" s="9" t="s">
        <v>25</v>
      </c>
      <c r="I10" s="9" t="s">
        <v>40</v>
      </c>
      <c r="J10" s="9" t="s">
        <v>27</v>
      </c>
      <c r="K10" s="9" t="s">
        <v>0</v>
      </c>
    </row>
    <row r="11" spans="1:11" x14ac:dyDescent="0.25">
      <c r="A11" s="8">
        <f>ROW()-6</f>
      </c>
      <c r="B11" s="9">
        <v>2</v>
      </c>
      <c r="C11" s="9" t="s">
        <v>41</v>
      </c>
      <c r="D11" s="9" t="s">
        <v>42</v>
      </c>
      <c r="E11" s="9" t="s">
        <v>30</v>
      </c>
      <c r="F11" s="9" t="s">
        <v>41</v>
      </c>
      <c r="G11" s="9" t="s">
        <v>43</v>
      </c>
      <c r="H11" s="9" t="s">
        <v>25</v>
      </c>
      <c r="I11" s="9" t="s">
        <v>44</v>
      </c>
      <c r="J11" s="9" t="s">
        <v>27</v>
      </c>
      <c r="K11" s="9" t="s">
        <v>0</v>
      </c>
    </row>
    <row r="12" spans="1:11" x14ac:dyDescent="0.25">
      <c r="A12" s="8">
        <f>ROW()-6</f>
      </c>
      <c r="B12" s="9">
        <v>3</v>
      </c>
      <c r="C12" s="9" t="s">
        <v>45</v>
      </c>
      <c r="D12" s="9" t="s">
        <v>46</v>
      </c>
      <c r="E12" s="9" t="s">
        <v>47</v>
      </c>
      <c r="F12" s="9" t="s">
        <v>0</v>
      </c>
      <c r="G12" s="9" t="s">
        <v>45</v>
      </c>
      <c r="H12" s="9" t="s">
        <v>48</v>
      </c>
      <c r="I12" s="9" t="s">
        <v>49</v>
      </c>
      <c r="J12" s="9" t="s">
        <v>27</v>
      </c>
      <c r="K12" s="9" t="s">
        <v>0</v>
      </c>
    </row>
    <row r="13" spans="1:11" x14ac:dyDescent="0.25">
      <c r="A13" s="8">
        <f>ROW()-6</f>
      </c>
      <c r="B13" s="9">
        <v>1</v>
      </c>
      <c r="C13" s="9" t="s">
        <v>50</v>
      </c>
      <c r="D13" s="9" t="s">
        <v>51</v>
      </c>
      <c r="E13" s="9" t="s">
        <v>52</v>
      </c>
      <c r="F13" s="9" t="s">
        <v>0</v>
      </c>
      <c r="G13" s="9" t="s">
        <v>50</v>
      </c>
      <c r="H13" s="9" t="s">
        <v>53</v>
      </c>
      <c r="I13" s="9" t="s">
        <v>54</v>
      </c>
      <c r="J13" s="9" t="s">
        <v>27</v>
      </c>
      <c r="K13" s="9" t="s">
        <v>0</v>
      </c>
    </row>
    <row r="14" spans="1:11" x14ac:dyDescent="0.25">
      <c r="A14" s="8">
        <f>ROW()-6</f>
      </c>
      <c r="B14" s="9">
        <v>1</v>
      </c>
      <c r="C14" s="9" t="s">
        <v>55</v>
      </c>
      <c r="D14" s="9" t="s">
        <v>56</v>
      </c>
      <c r="E14" s="9" t="s">
        <v>57</v>
      </c>
      <c r="F14" s="9" t="s">
        <v>0</v>
      </c>
      <c r="G14" s="9" t="s">
        <v>55</v>
      </c>
      <c r="H14" s="9" t="s">
        <v>58</v>
      </c>
      <c r="I14" s="9" t="s">
        <v>59</v>
      </c>
      <c r="J14" s="9" t="s">
        <v>27</v>
      </c>
      <c r="K14" s="9" t="s">
        <v>0</v>
      </c>
    </row>
    <row r="15" spans="1:11" x14ac:dyDescent="0.25">
      <c r="A15" s="8">
        <f>ROW()-6</f>
      </c>
      <c r="B15" s="9">
        <v>2</v>
      </c>
      <c r="C15" s="9" t="s">
        <v>60</v>
      </c>
      <c r="D15" s="9" t="s">
        <v>61</v>
      </c>
      <c r="E15" s="9" t="s">
        <v>62</v>
      </c>
      <c r="F15" s="9" t="s">
        <v>0</v>
      </c>
      <c r="G15" s="9" t="s">
        <v>60</v>
      </c>
      <c r="H15" s="9" t="s">
        <v>58</v>
      </c>
      <c r="I15" s="9" t="s">
        <v>63</v>
      </c>
      <c r="J15" s="9" t="s">
        <v>27</v>
      </c>
      <c r="K15" s="9" t="s">
        <v>0</v>
      </c>
    </row>
    <row r="16" spans="1:11" x14ac:dyDescent="0.25">
      <c r="A16" s="8">
        <f>ROW()-6</f>
      </c>
      <c r="B16" s="9">
        <v>1</v>
      </c>
      <c r="C16" s="9" t="s">
        <v>64</v>
      </c>
      <c r="D16" s="9" t="s">
        <v>65</v>
      </c>
      <c r="E16" s="9" t="s">
        <v>66</v>
      </c>
      <c r="F16" s="9" t="s">
        <v>0</v>
      </c>
      <c r="G16" s="9" t="s">
        <v>64</v>
      </c>
      <c r="H16" s="9" t="s">
        <v>67</v>
      </c>
      <c r="I16" s="9" t="s">
        <v>68</v>
      </c>
      <c r="J16" s="9" t="s">
        <v>27</v>
      </c>
      <c r="K16" s="9" t="s">
        <v>0</v>
      </c>
    </row>
    <row r="17" spans="1:11" x14ac:dyDescent="0.25">
      <c r="A17" s="8">
        <f>ROW()-6</f>
      </c>
      <c r="B17" s="9">
        <v>1</v>
      </c>
      <c r="C17" s="9" t="s">
        <v>69</v>
      </c>
      <c r="D17" s="9" t="s">
        <v>70</v>
      </c>
      <c r="E17" s="9" t="s">
        <v>71</v>
      </c>
      <c r="F17" s="9" t="s">
        <v>0</v>
      </c>
      <c r="G17" s="9" t="s">
        <v>69</v>
      </c>
      <c r="H17" s="9" t="s">
        <v>72</v>
      </c>
      <c r="I17" s="9" t="s">
        <v>73</v>
      </c>
      <c r="J17" s="9" t="s">
        <v>27</v>
      </c>
      <c r="K17" s="9" t="s">
        <v>0</v>
      </c>
    </row>
    <row r="18" spans="1:11" x14ac:dyDescent="0.25">
      <c r="A18" s="8">
        <f>ROW()-6</f>
      </c>
      <c r="B18" s="9">
        <v>1</v>
      </c>
      <c r="C18" s="9" t="s">
        <v>74</v>
      </c>
      <c r="D18" s="9" t="s">
        <v>75</v>
      </c>
      <c r="E18" s="9" t="s">
        <v>76</v>
      </c>
      <c r="F18" s="9" t="s">
        <v>74</v>
      </c>
      <c r="G18" s="9" t="s">
        <v>77</v>
      </c>
      <c r="H18" s="9" t="s">
        <v>78</v>
      </c>
      <c r="I18" s="9" t="s">
        <v>79</v>
      </c>
      <c r="J18" s="9" t="s">
        <v>27</v>
      </c>
      <c r="K18" s="9" t="s">
        <v>0</v>
      </c>
    </row>
    <row r="19" spans="1:11" x14ac:dyDescent="0.25">
      <c r="A19" s="8">
        <f>ROW()-6</f>
      </c>
      <c r="B19" s="9">
        <v>2</v>
      </c>
      <c r="C19" s="9" t="s">
        <v>80</v>
      </c>
      <c r="D19" s="9" t="s">
        <v>81</v>
      </c>
      <c r="E19" s="9" t="s">
        <v>82</v>
      </c>
      <c r="F19" s="9" t="s">
        <v>0</v>
      </c>
      <c r="G19" s="9" t="s">
        <v>80</v>
      </c>
      <c r="H19" s="9" t="s">
        <v>83</v>
      </c>
      <c r="I19" s="9" t="s">
        <v>84</v>
      </c>
      <c r="J19" s="9" t="s">
        <v>27</v>
      </c>
      <c r="K19" s="9" t="s">
        <v>0</v>
      </c>
    </row>
    <row r="20" spans="1:11" x14ac:dyDescent="0.25">
      <c r="A20" s="8">
        <f>ROW()-6</f>
      </c>
      <c r="B20" s="9">
        <v>2</v>
      </c>
      <c r="C20" s="9" t="s">
        <v>85</v>
      </c>
      <c r="D20" s="9" t="s">
        <v>86</v>
      </c>
      <c r="E20" s="9" t="s">
        <v>87</v>
      </c>
      <c r="F20" s="9" t="s">
        <v>85</v>
      </c>
      <c r="G20" s="9" t="s">
        <v>88</v>
      </c>
      <c r="H20" s="9" t="s">
        <v>89</v>
      </c>
      <c r="I20" s="9" t="s">
        <v>90</v>
      </c>
      <c r="J20" s="9" t="s">
        <v>27</v>
      </c>
      <c r="K20" s="9" t="s">
        <v>0</v>
      </c>
    </row>
    <row r="21" spans="1:11" x14ac:dyDescent="0.25">
      <c r="A21" s="8">
        <f>ROW()-6</f>
      </c>
      <c r="B21" s="9">
        <v>1</v>
      </c>
      <c r="C21" s="9" t="s">
        <v>91</v>
      </c>
      <c r="D21" s="9" t="s">
        <v>92</v>
      </c>
      <c r="E21" s="9" t="s">
        <v>87</v>
      </c>
      <c r="F21" s="9" t="s">
        <v>91</v>
      </c>
      <c r="G21" s="9" t="s">
        <v>93</v>
      </c>
      <c r="H21" s="9" t="s">
        <v>89</v>
      </c>
      <c r="I21" s="9" t="s">
        <v>94</v>
      </c>
      <c r="J21" s="9" t="s">
        <v>27</v>
      </c>
      <c r="K21" s="9" t="s">
        <v>0</v>
      </c>
    </row>
    <row r="22" spans="1:11" x14ac:dyDescent="0.25">
      <c r="A22" s="8">
        <f>ROW()-6</f>
      </c>
      <c r="B22" s="9">
        <v>1</v>
      </c>
      <c r="C22" s="9" t="s">
        <v>95</v>
      </c>
      <c r="D22" s="9" t="s">
        <v>96</v>
      </c>
      <c r="E22" s="9" t="s">
        <v>87</v>
      </c>
      <c r="F22" s="9" t="s">
        <v>95</v>
      </c>
      <c r="G22" s="9" t="s">
        <v>97</v>
      </c>
      <c r="H22" s="9" t="s">
        <v>89</v>
      </c>
      <c r="I22" s="9" t="s">
        <v>98</v>
      </c>
      <c r="J22" s="9" t="s">
        <v>27</v>
      </c>
      <c r="K22" s="9" t="s">
        <v>0</v>
      </c>
    </row>
    <row r="23" spans="1:11" x14ac:dyDescent="0.25">
      <c r="A23" s="8">
        <f>ROW()-6</f>
      </c>
      <c r="B23" s="9">
        <v>6</v>
      </c>
      <c r="C23" s="9" t="s">
        <v>99</v>
      </c>
      <c r="D23" s="9" t="s">
        <v>100</v>
      </c>
      <c r="E23" s="9" t="s">
        <v>87</v>
      </c>
      <c r="F23" s="9" t="s">
        <v>99</v>
      </c>
      <c r="G23" s="9" t="s">
        <v>101</v>
      </c>
      <c r="H23" s="9" t="s">
        <v>89</v>
      </c>
      <c r="I23" s="9" t="s">
        <v>102</v>
      </c>
      <c r="J23" s="9" t="s">
        <v>27</v>
      </c>
      <c r="K23" s="9" t="s">
        <v>0</v>
      </c>
    </row>
    <row r="24" spans="1:11" x14ac:dyDescent="0.25">
      <c r="A24" s="8">
        <f>ROW()-6</f>
      </c>
      <c r="B24" s="9">
        <v>1</v>
      </c>
      <c r="C24" s="9" t="s">
        <v>103</v>
      </c>
      <c r="D24" s="9" t="s">
        <v>104</v>
      </c>
      <c r="E24" s="9" t="s">
        <v>87</v>
      </c>
      <c r="F24" s="9" t="s">
        <v>103</v>
      </c>
      <c r="G24" s="9" t="s">
        <v>105</v>
      </c>
      <c r="H24" s="9" t="s">
        <v>89</v>
      </c>
      <c r="I24" s="9" t="s">
        <v>106</v>
      </c>
      <c r="J24" s="9" t="s">
        <v>27</v>
      </c>
      <c r="K24" s="9" t="s">
        <v>0</v>
      </c>
    </row>
    <row r="25" spans="1:11" x14ac:dyDescent="0.25">
      <c r="A25" s="8">
        <f>ROW()-6</f>
      </c>
      <c r="B25" s="9">
        <v>2</v>
      </c>
      <c r="C25" s="9" t="s">
        <v>107</v>
      </c>
      <c r="D25" s="9" t="s">
        <v>108</v>
      </c>
      <c r="E25" s="9" t="s">
        <v>109</v>
      </c>
      <c r="F25" s="9" t="s">
        <v>107</v>
      </c>
      <c r="G25" s="9" t="s">
        <v>110</v>
      </c>
      <c r="H25" s="9" t="s">
        <v>111</v>
      </c>
      <c r="I25" s="9" t="s">
        <v>112</v>
      </c>
      <c r="J25" s="9" t="s">
        <v>27</v>
      </c>
      <c r="K25" s="9" t="s">
        <v>0</v>
      </c>
    </row>
    <row r="26" spans="1:11" x14ac:dyDescent="0.25">
      <c r="A26" s="8">
        <f>ROW()-6</f>
      </c>
      <c r="B26" s="9">
        <v>1</v>
      </c>
      <c r="C26" s="9" t="s">
        <v>113</v>
      </c>
      <c r="D26" s="9" t="s">
        <v>114</v>
      </c>
      <c r="E26" s="9" t="s">
        <v>109</v>
      </c>
      <c r="F26" s="9" t="s">
        <v>113</v>
      </c>
      <c r="G26" s="9" t="s">
        <v>115</v>
      </c>
      <c r="H26" s="9" t="s">
        <v>116</v>
      </c>
      <c r="I26" s="9" t="s">
        <v>117</v>
      </c>
      <c r="J26" s="9" t="s">
        <v>27</v>
      </c>
      <c r="K26" s="9" t="s">
        <v>0</v>
      </c>
    </row>
    <row r="27" spans="1:11" x14ac:dyDescent="0.25">
      <c r="A27" s="8">
        <f>ROW()-6</f>
      </c>
      <c r="B27" s="9">
        <v>5</v>
      </c>
      <c r="C27" s="9" t="s">
        <v>118</v>
      </c>
      <c r="D27" s="9" t="s">
        <v>119</v>
      </c>
      <c r="E27" s="9" t="s">
        <v>87</v>
      </c>
      <c r="F27" s="9" t="s">
        <v>118</v>
      </c>
      <c r="G27" s="9" t="s">
        <v>120</v>
      </c>
      <c r="H27" s="9" t="s">
        <v>89</v>
      </c>
      <c r="I27" s="9" t="s">
        <v>121</v>
      </c>
      <c r="J27" s="9" t="s">
        <v>27</v>
      </c>
      <c r="K27" s="9" t="s">
        <v>0</v>
      </c>
    </row>
    <row r="28" spans="1:11" x14ac:dyDescent="0.25">
      <c r="A28" s="8">
        <f>ROW()-6</f>
      </c>
      <c r="B28" s="9">
        <v>1</v>
      </c>
      <c r="C28" s="9" t="s">
        <v>122</v>
      </c>
      <c r="D28" s="9" t="s">
        <v>123</v>
      </c>
      <c r="E28" s="9" t="s">
        <v>124</v>
      </c>
      <c r="F28" s="9" t="s">
        <v>122</v>
      </c>
      <c r="G28" s="9" t="s">
        <v>125</v>
      </c>
      <c r="H28" s="9" t="s">
        <v>116</v>
      </c>
      <c r="I28" s="9" t="s">
        <v>126</v>
      </c>
      <c r="J28" s="9" t="s">
        <v>27</v>
      </c>
      <c r="K28" s="9" t="s">
        <v>0</v>
      </c>
    </row>
    <row r="29" spans="1:11" x14ac:dyDescent="0.25">
      <c r="A29" s="8">
        <f>ROW()-6</f>
      </c>
      <c r="B29" s="9">
        <v>1</v>
      </c>
      <c r="C29" s="9" t="s">
        <v>127</v>
      </c>
      <c r="D29" s="9" t="s">
        <v>128</v>
      </c>
      <c r="E29" s="9" t="s">
        <v>87</v>
      </c>
      <c r="F29" s="9" t="s">
        <v>127</v>
      </c>
      <c r="G29" s="9" t="s">
        <v>129</v>
      </c>
      <c r="H29" s="9" t="s">
        <v>89</v>
      </c>
      <c r="I29" s="9" t="s">
        <v>130</v>
      </c>
      <c r="J29" s="9" t="s">
        <v>27</v>
      </c>
      <c r="K29" s="9" t="s">
        <v>0</v>
      </c>
    </row>
    <row r="30" spans="1:11" x14ac:dyDescent="0.25">
      <c r="A30" s="8">
        <f>ROW()-6</f>
      </c>
      <c r="B30" s="9">
        <v>4</v>
      </c>
      <c r="C30" s="9" t="s">
        <v>131</v>
      </c>
      <c r="D30" s="9" t="s">
        <v>132</v>
      </c>
      <c r="E30" s="9" t="s">
        <v>131</v>
      </c>
      <c r="F30" s="9" t="s">
        <v>0</v>
      </c>
      <c r="G30" s="9" t="s">
        <v>0</v>
      </c>
      <c r="H30" s="9" t="s">
        <v>0</v>
      </c>
      <c r="I30" s="9" t="s">
        <v>0</v>
      </c>
      <c r="J30" s="9" t="s">
        <v>0</v>
      </c>
      <c r="K30" s="9" t="s">
        <v>0</v>
      </c>
    </row>
    <row r="31" spans="1:11" x14ac:dyDescent="0.25">
      <c r="A31" s="8">
        <f>ROW()-6</f>
      </c>
      <c r="B31" s="9">
        <v>4</v>
      </c>
      <c r="C31" s="9" t="s">
        <v>133</v>
      </c>
      <c r="D31" s="9" t="s">
        <v>134</v>
      </c>
      <c r="E31" s="9" t="s">
        <v>135</v>
      </c>
      <c r="F31" s="9" t="s">
        <v>0</v>
      </c>
      <c r="G31" s="9" t="s">
        <v>133</v>
      </c>
      <c r="H31" s="9" t="s">
        <v>136</v>
      </c>
      <c r="I31" s="9" t="s">
        <v>137</v>
      </c>
      <c r="J31" s="9" t="s">
        <v>27</v>
      </c>
      <c r="K31" s="9" t="s">
        <v>0</v>
      </c>
    </row>
    <row r="32" spans="1:11" x14ac:dyDescent="0.25">
      <c r="A32" s="8">
        <f>ROW()-6</f>
      </c>
      <c r="B32" s="9">
        <v>1</v>
      </c>
      <c r="C32" s="9" t="s">
        <v>138</v>
      </c>
      <c r="D32" s="9" t="s">
        <v>139</v>
      </c>
      <c r="E32" s="9" t="s">
        <v>140</v>
      </c>
      <c r="F32" s="9" t="s">
        <v>0</v>
      </c>
      <c r="G32" s="9" t="s">
        <v>138</v>
      </c>
      <c r="H32" s="9" t="s">
        <v>141</v>
      </c>
      <c r="I32" s="9" t="s">
        <v>142</v>
      </c>
      <c r="J32" s="9" t="s">
        <v>27</v>
      </c>
      <c r="K32" s="9" t="s">
        <v>0</v>
      </c>
    </row>
    <row r="33" spans="1:11" x14ac:dyDescent="0.25">
      <c r="A33" s="8">
        <f>ROW()-6</f>
      </c>
      <c r="B33" s="9">
        <v>1</v>
      </c>
      <c r="C33" s="9" t="s">
        <v>143</v>
      </c>
      <c r="D33" s="9" t="s">
        <v>144</v>
      </c>
      <c r="E33" s="9" t="s">
        <v>145</v>
      </c>
      <c r="F33" s="9" t="s">
        <v>0</v>
      </c>
      <c r="G33" s="9" t="s">
        <v>143</v>
      </c>
      <c r="H33" s="9" t="s">
        <v>146</v>
      </c>
      <c r="I33" s="9" t="s">
        <v>147</v>
      </c>
      <c r="J33" s="9" t="s">
        <v>27</v>
      </c>
      <c r="K33" s="9" t="s">
        <v>0</v>
      </c>
    </row>
    <row r="34" spans="1:11" x14ac:dyDescent="0.25">
      <c r="A34" s="8">
        <f>ROW()-6</f>
      </c>
      <c r="B34" s="9">
        <v>1</v>
      </c>
      <c r="C34" s="9" t="s">
        <v>148</v>
      </c>
      <c r="D34" s="9" t="s">
        <v>149</v>
      </c>
      <c r="E34" s="9" t="s">
        <v>150</v>
      </c>
      <c r="F34" s="9" t="s">
        <v>0</v>
      </c>
      <c r="G34" s="9" t="s">
        <v>148</v>
      </c>
      <c r="H34" s="9" t="s">
        <v>151</v>
      </c>
      <c r="I34" s="9" t="s">
        <v>152</v>
      </c>
      <c r="J34" s="9" t="s">
        <v>27</v>
      </c>
      <c r="K34" s="9" t="s">
        <v>0</v>
      </c>
    </row>
    <row r="35" spans="1:11" x14ac:dyDescent="0.25">
      <c r="A35" s="8">
        <f>ROW()-6</f>
      </c>
      <c r="B35" s="9">
        <v>1</v>
      </c>
      <c r="C35" s="9" t="s">
        <v>153</v>
      </c>
      <c r="D35" s="9" t="s">
        <v>154</v>
      </c>
      <c r="E35" s="9" t="s">
        <v>155</v>
      </c>
      <c r="F35" s="9" t="s">
        <v>0</v>
      </c>
      <c r="G35" s="9" t="s">
        <v>153</v>
      </c>
      <c r="H35" s="9" t="s">
        <v>156</v>
      </c>
      <c r="I35" s="9" t="s">
        <v>157</v>
      </c>
      <c r="J35" s="9" t="s">
        <v>27</v>
      </c>
      <c r="K35" s="9" t="s">
        <v>0</v>
      </c>
    </row>
    <row r="36" spans="1:11" x14ac:dyDescent="0.25">
      <c r="A36" s="8">
        <f>ROW()-6</f>
      </c>
      <c r="B36" s="9">
        <v>1</v>
      </c>
      <c r="C36" s="9" t="s">
        <v>158</v>
      </c>
      <c r="D36" s="9" t="s">
        <v>159</v>
      </c>
      <c r="E36" s="9" t="s">
        <v>160</v>
      </c>
      <c r="F36" s="9" t="s">
        <v>0</v>
      </c>
      <c r="G36" s="9" t="s">
        <v>158</v>
      </c>
      <c r="H36" s="9" t="s">
        <v>146</v>
      </c>
      <c r="I36" s="9" t="s">
        <v>161</v>
      </c>
      <c r="J36" s="9" t="s">
        <v>27</v>
      </c>
      <c r="K36" s="9" t="s">
        <v>0</v>
      </c>
    </row>
    <row r="37" spans="1:11" x14ac:dyDescent="0.25">
      <c r="A37" s="8">
        <f>ROW()-6</f>
      </c>
      <c r="B37" s="9">
        <v>1</v>
      </c>
      <c r="C37" s="9" t="s">
        <v>162</v>
      </c>
      <c r="D37" s="9" t="s">
        <v>163</v>
      </c>
      <c r="E37" s="9" t="s">
        <v>164</v>
      </c>
      <c r="F37" s="9" t="s">
        <v>0</v>
      </c>
      <c r="G37" s="9" t="s">
        <v>162</v>
      </c>
      <c r="H37" s="9" t="s">
        <v>165</v>
      </c>
      <c r="I37" s="9" t="s">
        <v>166</v>
      </c>
      <c r="J37" s="9" t="s">
        <v>27</v>
      </c>
      <c r="K37" s="9" t="s">
        <v>0</v>
      </c>
    </row>
    <row r="38" spans="1:11" x14ac:dyDescent="0.25">
      <c r="A38" s="8">
        <f>ROW()-6</f>
      </c>
      <c r="B38" s="9">
        <v>1</v>
      </c>
      <c r="C38" s="9" t="s">
        <v>167</v>
      </c>
      <c r="D38" s="9" t="s">
        <v>168</v>
      </c>
      <c r="E38" s="9" t="s">
        <v>169</v>
      </c>
      <c r="F38" s="9" t="s">
        <v>0</v>
      </c>
      <c r="G38" s="9" t="s">
        <v>167</v>
      </c>
      <c r="H38" s="9" t="s">
        <v>170</v>
      </c>
      <c r="I38" s="9" t="s">
        <v>171</v>
      </c>
      <c r="J38" s="9" t="s">
        <v>27</v>
      </c>
      <c r="K38" s="9" t="s">
        <v>0</v>
      </c>
    </row>
    <row r="39" spans="1:11" x14ac:dyDescent="0.25">
      <c r="A39" s="8">
        <f>ROW()-6</f>
      </c>
      <c r="B39" s="9">
        <v>1</v>
      </c>
      <c r="C39" s="9" t="s">
        <v>172</v>
      </c>
      <c r="D39" s="9" t="s">
        <v>173</v>
      </c>
      <c r="E39" s="9" t="s">
        <v>174</v>
      </c>
      <c r="F39" s="9" t="s">
        <v>0</v>
      </c>
      <c r="G39" s="9" t="s">
        <v>172</v>
      </c>
      <c r="H39" s="9" t="s">
        <v>146</v>
      </c>
      <c r="I39" s="9" t="s">
        <v>175</v>
      </c>
      <c r="J39" s="9" t="s">
        <v>27</v>
      </c>
      <c r="K39" s="9" t="s">
        <v>0</v>
      </c>
    </row>
    <row r="40" spans="1:11" x14ac:dyDescent="0.25">
      <c r="A40" s="8">
        <f>ROW()-6</f>
      </c>
      <c r="B40" s="9">
        <v>1</v>
      </c>
      <c r="C40" s="9" t="s">
        <v>176</v>
      </c>
      <c r="D40" s="9" t="s">
        <v>177</v>
      </c>
      <c r="E40" s="9" t="s">
        <v>178</v>
      </c>
      <c r="F40" s="9" t="s">
        <v>0</v>
      </c>
      <c r="G40" s="9" t="s">
        <v>176</v>
      </c>
      <c r="H40" s="9" t="s">
        <v>179</v>
      </c>
      <c r="I40" s="9" t="s">
        <v>180</v>
      </c>
      <c r="J40" s="9" t="s">
        <v>27</v>
      </c>
      <c r="K40" s="9" t="s">
        <v>0</v>
      </c>
    </row>
    <row r="41" spans="1:11" x14ac:dyDescent="0.25">
      <c r="A41" s="8">
        <f>ROW()-6</f>
      </c>
      <c r="B41" s="9">
        <v>1</v>
      </c>
      <c r="C41" s="9" t="s">
        <v>181</v>
      </c>
      <c r="D41" s="9" t="s">
        <v>182</v>
      </c>
      <c r="E41" s="9" t="s">
        <v>183</v>
      </c>
      <c r="F41" s="9" t="s">
        <v>181</v>
      </c>
      <c r="G41" s="9" t="s">
        <v>184</v>
      </c>
      <c r="H41" s="9" t="s">
        <v>185</v>
      </c>
      <c r="I41" s="9" t="s">
        <v>186</v>
      </c>
      <c r="J41" s="9" t="s">
        <v>27</v>
      </c>
      <c r="K41" s="9" t="s">
        <v>0</v>
      </c>
    </row>
    <row r="42" spans="1:12" x14ac:dyDescent="0.25">
      <c r="A42" s="8">
        <f>ROW()-6</f>
      </c>
      <c r="B42" s="10">
        <f>SUM(L7:L41)</f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</sheetData>
  <mergeCells count="4">
    <mergeCell ref="A1:D5"/>
    <mergeCell ref="E1:E2"/>
    <mergeCell ref="F1:F2"/>
    <mergeCell ref="B42:L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187</v>
      </c>
      <c r="B1" s="6" t="s">
        <v>4</v>
      </c>
    </row>
    <row r="2" spans="1:2" x14ac:dyDescent="0.25">
      <c r="A2" s="6" t="s">
        <v>188</v>
      </c>
      <c r="B2" s="6" t="s">
        <v>189</v>
      </c>
    </row>
    <row r="3" spans="1:2" x14ac:dyDescent="0.25">
      <c r="A3" s="6" t="s">
        <v>190</v>
      </c>
      <c r="B3" s="6" t="s">
        <v>191</v>
      </c>
    </row>
    <row r="4" spans="1:2" x14ac:dyDescent="0.25">
      <c r="A4" s="6" t="s">
        <v>192</v>
      </c>
      <c r="B4" s="6" t="s">
        <v>193</v>
      </c>
    </row>
    <row r="5" spans="1:2" x14ac:dyDescent="0.25">
      <c r="A5" s="6" t="s">
        <v>194</v>
      </c>
      <c r="B5" s="6" t="s">
        <v>6</v>
      </c>
    </row>
    <row r="6" spans="1:2" x14ac:dyDescent="0.25">
      <c r="A6" s="6" t="s">
        <v>195</v>
      </c>
      <c r="B6" s="6">
        <v>78</v>
      </c>
    </row>
    <row r="7" spans="1:2" x14ac:dyDescent="0.25">
      <c r="A7" s="6" t="s">
        <v>196</v>
      </c>
      <c r="B7" s="6" t="s">
        <v>197</v>
      </c>
    </row>
    <row r="8" spans="1:2" x14ac:dyDescent="0.25">
      <c r="A8" s="6" t="s">
        <v>198</v>
      </c>
      <c r="B8" s="6" t="s">
        <v>199</v>
      </c>
    </row>
    <row r="9" spans="1:2" x14ac:dyDescent="0.25">
      <c r="A9" s="6" t="s">
        <v>200</v>
      </c>
      <c r="B9" s="6" t="s">
        <v>8</v>
      </c>
    </row>
    <row r="10" spans="1:2" x14ac:dyDescent="0.25">
      <c r="A10" s="6" t="s">
        <v>201</v>
      </c>
      <c r="B10" s="6" t="s">
        <v>2</v>
      </c>
    </row>
    <row r="11" spans="1:2" x14ac:dyDescent="0.25">
      <c r="A11" s="6" t="s">
        <v>202</v>
      </c>
      <c r="B11" s="6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2026-06-12T09:35:29Z</dcterms:modified>
</cp:coreProperties>
</file>